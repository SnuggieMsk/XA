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Solved" sheetId="2" state="visible" r:id="rId2"/>
    <sheet name="Dr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yrs&quot;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  <color rgb="006A6F7A"/>
      <sz val="10"/>
    </font>
    <font>
      <b val="1"/>
      <color rgb="00107C41"/>
    </font>
    <font>
      <b val="1"/>
      <color rgb="00C00000"/>
    </font>
    <font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7C41"/>
      </patternFill>
    </fill>
    <fill>
      <patternFill patternType="solid">
        <fgColor rgb="00FFF4CC"/>
      </patternFill>
    </fill>
    <fill>
      <patternFill patternType="solid">
        <fgColor rgb="00F2F2F2"/>
      </patternFill>
    </fill>
    <fill>
      <patternFill patternType="solid">
        <fgColor rgb="00E7F3E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9" fontId="0" fillId="3" borderId="1" pivotButton="0" quotePrefix="0" xfId="0"/>
    <xf numFmtId="10" fontId="0" fillId="0" borderId="1" pivotButton="0" quotePrefix="0" xfId="0"/>
    <xf numFmtId="0" fontId="4" fillId="0" borderId="0" pivotButton="0" quotePrefix="0" xfId="0"/>
    <xf numFmtId="4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4" fontId="2" fillId="5" borderId="1" pivotButton="0" quotePrefix="0" xfId="0"/>
    <xf numFmtId="10" fontId="2" fillId="5" borderId="1" pivotButton="0" quotePrefix="0" xfId="0"/>
    <xf numFmtId="0" fontId="7" fillId="2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2" customWidth="1" min="4" max="4"/>
  </cols>
  <sheetData>
    <row r="1" ht="26" customHeight="1">
      <c r="A1" s="1" t="inlineStr">
        <is>
          <t>TVM PRACTICE — type the formulas yourself (answers on the 'Solved' tab)</t>
        </is>
      </c>
    </row>
    <row r="3">
      <c r="B3" s="2" t="inlineStr">
        <is>
          <t>years</t>
        </is>
      </c>
      <c r="C3" s="3" t="inlineStr">
        <is>
          <t>months</t>
        </is>
      </c>
    </row>
    <row r="4">
      <c r="A4" s="4" t="inlineStr">
        <is>
          <t>Time</t>
        </is>
      </c>
      <c r="B4" s="5" t="n">
        <v>15</v>
      </c>
      <c r="C4" s="6">
        <f>B4*12</f>
        <v/>
      </c>
      <c r="D4" s="7" t="inlineStr">
        <is>
          <t>months auto-derived: =B4*12</t>
        </is>
      </c>
    </row>
    <row r="5">
      <c r="A5" s="4" t="inlineStr">
        <is>
          <t>rate</t>
        </is>
      </c>
      <c r="B5" s="8" t="n">
        <v>0.1</v>
      </c>
      <c r="C5" s="9">
        <f>B5/12</f>
        <v/>
      </c>
      <c r="D5" s="7" t="inlineStr">
        <is>
          <t>monthly rate auto-derived: =B5/12</t>
        </is>
      </c>
    </row>
    <row r="6">
      <c r="A6" s="4" t="inlineStr">
        <is>
          <t>inflation</t>
        </is>
      </c>
      <c r="B6" s="8" t="n">
        <v>0.06</v>
      </c>
    </row>
    <row r="8">
      <c r="A8" s="4" t="inlineStr">
        <is>
          <t>PV</t>
        </is>
      </c>
      <c r="B8" s="5" t="n">
        <v>10000</v>
      </c>
      <c r="D8" s="7" t="inlineStr">
        <is>
          <t>a lump sum you invest today</t>
        </is>
      </c>
    </row>
    <row r="9">
      <c r="A9" s="4" t="inlineStr">
        <is>
          <t>start/PV</t>
        </is>
      </c>
      <c r="B9" s="5" t="n">
        <v>100000</v>
      </c>
      <c r="D9" s="7" t="inlineStr">
        <is>
          <t>an amount that grew…</t>
        </is>
      </c>
    </row>
    <row r="10">
      <c r="A10" s="4" t="inlineStr">
        <is>
          <t>end/FV</t>
        </is>
      </c>
      <c r="B10" s="5" t="n">
        <v>345000</v>
      </c>
      <c r="D10" s="7" t="inlineStr">
        <is>
          <t>…to this, over the years in B4</t>
        </is>
      </c>
    </row>
    <row r="11">
      <c r="A11" s="10" t="inlineStr">
        <is>
          <t>YOUR TURN ↓  (type the formula in column B)</t>
        </is>
      </c>
    </row>
    <row r="12">
      <c r="A12" s="4" t="inlineStr">
        <is>
          <t>FV</t>
        </is>
      </c>
      <c r="B12" s="11" t="n"/>
      <c r="D12" s="7" t="inlineStr">
        <is>
          <t>What does the ₹10,000 (B8) grow to in 15y @10%?   hint: =FV(B5,B4,0,-B8)</t>
        </is>
      </c>
    </row>
    <row r="13">
      <c r="A13" s="4" t="inlineStr">
        <is>
          <t>PV</t>
        </is>
      </c>
      <c r="B13" s="11" t="n"/>
      <c r="D13" s="7" t="inlineStr">
        <is>
          <t>What is ₹10,000/yr for 15y worth today?   hint: =PV(B5,B4,-B8,0)</t>
        </is>
      </c>
    </row>
    <row r="14">
      <c r="A14" s="4" t="inlineStr">
        <is>
          <t>rate</t>
        </is>
      </c>
      <c r="B14" s="11" t="n"/>
      <c r="D14" s="7" t="inlineStr">
        <is>
          <t>₹1,00,000 → ₹3,45,000 in 15y: what rate? (mind the minus!)   hint: =RATE(B4,0,-B9,B10)</t>
        </is>
      </c>
    </row>
    <row r="15">
      <c r="A15" s="4" t="inlineStr">
        <is>
          <t>PMT</t>
        </is>
      </c>
      <c r="B15" s="11" t="n"/>
      <c r="D15" s="7" t="inlineStr">
        <is>
          <t>What yearly payment clears ₹1,00,000 @10% in 15y?   hint: =PMT(B5,B4,-B9,0)</t>
        </is>
      </c>
    </row>
    <row r="17">
      <c r="A17" s="12" t="inlineStr">
        <is>
          <t>GOLDEN RULE:</t>
        </is>
      </c>
      <c r="B17" s="13" t="inlineStr">
        <is>
          <t>money OUT of your pocket = NEGATIVE. #NUM! almost always = wrong signs.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52" customWidth="1" min="4" max="4"/>
  </cols>
  <sheetData>
    <row r="1" ht="26" customHeight="1">
      <c r="A1" s="1" t="inlineStr">
        <is>
          <t>SOLVED — live formulas (click any result cell to see its formula)</t>
        </is>
      </c>
    </row>
    <row r="3">
      <c r="B3" s="2" t="inlineStr">
        <is>
          <t>years</t>
        </is>
      </c>
      <c r="C3" s="3" t="inlineStr">
        <is>
          <t>months</t>
        </is>
      </c>
    </row>
    <row r="4">
      <c r="A4" s="4" t="inlineStr">
        <is>
          <t>Time</t>
        </is>
      </c>
      <c r="B4" s="5" t="n">
        <v>15</v>
      </c>
      <c r="C4" s="6">
        <f>B4*12</f>
        <v/>
      </c>
    </row>
    <row r="5">
      <c r="A5" s="4" t="inlineStr">
        <is>
          <t>rate</t>
        </is>
      </c>
      <c r="B5" s="8" t="n">
        <v>0.1</v>
      </c>
      <c r="C5" s="9">
        <f>B5/12</f>
        <v/>
      </c>
    </row>
    <row r="6">
      <c r="A6" s="4" t="inlineStr">
        <is>
          <t>inflation</t>
        </is>
      </c>
      <c r="B6" s="8" t="n">
        <v>0.06</v>
      </c>
    </row>
    <row r="8">
      <c r="A8" s="4" t="inlineStr">
        <is>
          <t>PV</t>
        </is>
      </c>
      <c r="B8" s="5" t="n">
        <v>10000</v>
      </c>
    </row>
    <row r="9">
      <c r="A9" s="4" t="inlineStr">
        <is>
          <t>start/PV</t>
        </is>
      </c>
      <c r="B9" s="5" t="n">
        <v>100000</v>
      </c>
    </row>
    <row r="10">
      <c r="A10" s="4" t="inlineStr">
        <is>
          <t>end/FV</t>
        </is>
      </c>
      <c r="B10" s="5" t="n">
        <v>345000</v>
      </c>
    </row>
    <row r="12">
      <c r="A12" s="4" t="inlineStr">
        <is>
          <t>FV</t>
        </is>
      </c>
      <c r="B12" s="14">
        <f>FV(B5,B4,0,-B8)</f>
        <v/>
      </c>
      <c r="D12" s="7" t="inlineStr">
        <is>
          <t>₹10,000 → ₹41,772.48 (= 10,000 × 1.10^15)</t>
        </is>
      </c>
    </row>
    <row r="13">
      <c r="A13" s="4" t="inlineStr">
        <is>
          <t>PV</t>
        </is>
      </c>
      <c r="B13" s="14">
        <f>PV(B5,B4,-B8,0)</f>
        <v/>
      </c>
      <c r="D13" s="7" t="inlineStr">
        <is>
          <t>₹10,000/yr for 15y is worth ₹76,060.80 today</t>
        </is>
      </c>
    </row>
    <row r="14">
      <c r="A14" s="4" t="inlineStr">
        <is>
          <t>rate</t>
        </is>
      </c>
      <c r="B14" s="15">
        <f>RATE(B4,0,-B9,B10)</f>
        <v/>
      </c>
      <c r="D14" s="7" t="inlineStr">
        <is>
          <t>8.61% — the #NUM! fix: PV entered NEGATIVE</t>
        </is>
      </c>
    </row>
    <row r="15">
      <c r="A15" s="4" t="inlineStr">
        <is>
          <t>PMT</t>
        </is>
      </c>
      <c r="B15" s="14">
        <f>PMT(B5,B4,-B9,0)</f>
        <v/>
      </c>
      <c r="D15" s="7" t="inlineStr">
        <is>
          <t>₹13,147.38/yr clears ₹1,00,000 @10% in 15y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2" customWidth="1" min="4" max="4"/>
    <col width="14" customWidth="1" min="5" max="5"/>
    <col width="18" customWidth="1" min="6" max="6"/>
  </cols>
  <sheetData>
    <row r="1" ht="26" customHeight="1">
      <c r="A1" s="1" t="inlineStr">
        <is>
          <t>EXAM DRILLS — inputs in yellow; results are live formulas</t>
        </is>
      </c>
    </row>
    <row r="3">
      <c r="A3" s="16" t="inlineStr">
        <is>
          <t>Question</t>
        </is>
      </c>
      <c r="B3" s="16" t="inlineStr">
        <is>
          <t>Rate/period</t>
        </is>
      </c>
      <c r="C3" s="16" t="inlineStr">
        <is>
          <t>N</t>
        </is>
      </c>
      <c r="D3" s="16" t="inlineStr">
        <is>
          <t>PMT</t>
        </is>
      </c>
      <c r="E3" s="16" t="inlineStr">
        <is>
          <t>PV / FV</t>
        </is>
      </c>
      <c r="F3" s="16" t="inlineStr">
        <is>
          <t>ANSWER</t>
        </is>
      </c>
    </row>
    <row r="4">
      <c r="A4" s="6" t="inlineStr">
        <is>
          <t>₹5,000/month SIP @12% p.a. for 20 yrs → corpus?</t>
        </is>
      </c>
      <c r="B4" s="5">
        <f>12%/12</f>
        <v/>
      </c>
      <c r="C4" s="5" t="n">
        <v>240</v>
      </c>
      <c r="D4" s="5" t="n">
        <v>-5000</v>
      </c>
      <c r="E4" s="6" t="inlineStr">
        <is>
          <t>FV = ?</t>
        </is>
      </c>
      <c r="F4" s="14">
        <f>FV(B4,C4,D4,0)</f>
        <v/>
      </c>
    </row>
    <row r="5">
      <c r="A5" s="6" t="inlineStr">
        <is>
          <t>Need ₹1 crore in 25 yrs @10% → invest today?</t>
        </is>
      </c>
      <c r="B5" s="8" t="n">
        <v>0.1</v>
      </c>
      <c r="C5" s="5" t="n">
        <v>25</v>
      </c>
      <c r="D5" s="5" t="n">
        <v>0</v>
      </c>
      <c r="E5" s="6" t="inlineStr">
        <is>
          <t>FV 1,00,00,000</t>
        </is>
      </c>
      <c r="F5" s="14">
        <f>PV(B5,C5,0,10000000)</f>
        <v/>
      </c>
    </row>
    <row r="6">
      <c r="A6" s="6" t="inlineStr">
        <is>
          <t>₹50 lakh goal in 15 yrs @9% → save per year?</t>
        </is>
      </c>
      <c r="B6" s="8" t="n">
        <v>0.09</v>
      </c>
      <c r="C6" s="5" t="n">
        <v>15</v>
      </c>
      <c r="D6" s="5" t="n">
        <v>0</v>
      </c>
      <c r="E6" s="6" t="inlineStr">
        <is>
          <t>FV 50,00,000</t>
        </is>
      </c>
      <c r="F6" s="14">
        <f>PMT(B6,C6,0,5000000)</f>
        <v/>
      </c>
    </row>
    <row r="7">
      <c r="A7" s="6" t="inlineStr">
        <is>
          <t>₹2L grew to ₹8L in 12 yrs → CAGR?</t>
        </is>
      </c>
      <c r="B7" s="5">
        <f> ?</f>
        <v/>
      </c>
      <c r="C7" s="5" t="n">
        <v>12</v>
      </c>
      <c r="D7" s="5" t="n">
        <v>0</v>
      </c>
      <c r="E7" s="6" t="inlineStr">
        <is>
          <t>PV -2L, FV 8L</t>
        </is>
      </c>
      <c r="F7" s="15">
        <f>RATE(C7,0,-200000,800000)</f>
        <v/>
      </c>
    </row>
    <row r="8">
      <c r="A8" s="6" t="inlineStr">
        <is>
          <t>₹30L corpus @8%, withdraw ₹3L/yr → lasts?</t>
        </is>
      </c>
      <c r="B8" s="8" t="n">
        <v>0.08</v>
      </c>
      <c r="C8" s="5">
        <f> ?</f>
        <v/>
      </c>
      <c r="D8" s="5" t="n">
        <v>300000</v>
      </c>
      <c r="E8" s="6" t="inlineStr">
        <is>
          <t>PV -30,00,000</t>
        </is>
      </c>
      <c r="F8" s="17">
        <f>NPER(B8,D8,-3000000,0)</f>
        <v/>
      </c>
    </row>
    <row r="9">
      <c r="A9" s="6" t="inlineStr">
        <is>
          <t>Cost ₹5L today, 7% inflation, 10 yrs → future cost?</t>
        </is>
      </c>
      <c r="B9" s="8" t="n">
        <v>0.07000000000000001</v>
      </c>
      <c r="C9" s="5" t="n">
        <v>10</v>
      </c>
      <c r="D9" s="5" t="n">
        <v>0</v>
      </c>
      <c r="E9" s="6" t="inlineStr">
        <is>
          <t>PV -5,00,000</t>
        </is>
      </c>
      <c r="F9" s="14">
        <f>FV(B9,C9,0,-500000)</f>
        <v/>
      </c>
    </row>
    <row r="11">
      <c r="A11" s="7" t="inlineStr">
        <is>
          <t>Functions: =FV(rate,nper,pmt,pv)  =PV(rate,nper,pmt,fv)  =PMT(rate,nper,pv,fv)  =RATE(nper,pmt,pv,fv)  =NPER(rate,pmt,pv,fv)</t>
        </is>
      </c>
    </row>
    <row r="12">
      <c r="A12" s="7" t="inlineStr">
        <is>
          <t>Signs: money OUT = negative. Monthly: rate/12 AND years×12. type=1 for beginning-of-period.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2026-06-11T14:10:58Z</dcterms:created>
  <dcterms:modified xsi:type="dcterms:W3CDTF">2026-06-11T14:10:58Z</dcterms:modified>
</cp:coreProperties>
</file>